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aixiaohe\Desktop\模板\Personal\"/>
    </mc:Choice>
  </mc:AlternateContent>
  <bookViews>
    <workbookView xWindow="0" yWindow="0" windowWidth="28800" windowHeight="129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5" i="1" l="1"/>
  <c r="F38" i="1"/>
  <c r="F30" i="1"/>
  <c r="F32" i="1" s="1"/>
  <c r="F26" i="1"/>
  <c r="F36" i="1" s="1"/>
  <c r="F25" i="1"/>
  <c r="F15" i="1"/>
  <c r="F18" i="1" s="1"/>
  <c r="F40" i="1" l="1"/>
  <c r="F42" i="1"/>
  <c r="F47" i="1" s="1"/>
  <c r="F37" i="1"/>
</calcChain>
</file>

<file path=xl/sharedStrings.xml><?xml version="1.0" encoding="utf-8"?>
<sst xmlns="http://schemas.openxmlformats.org/spreadsheetml/2006/main" count="34" uniqueCount="34">
  <si>
    <t>Rent or Buy Analysis(Home)</t>
  </si>
  <si>
    <t>Enter name</t>
  </si>
  <si>
    <t>Enter date</t>
  </si>
  <si>
    <t>Initial Assumptions</t>
  </si>
  <si>
    <t>After Tax Rateof Return on Investment</t>
  </si>
  <si>
    <t>Marginal Tax Rate</t>
  </si>
  <si>
    <t>Estimated Annual Appreciation of home</t>
  </si>
  <si>
    <t>Down Payment on New Home</t>
  </si>
  <si>
    <t>Estimated Closing Costs</t>
  </si>
  <si>
    <t>Estimated Purchase Price of Home</t>
  </si>
  <si>
    <t>Monthly Rent</t>
  </si>
  <si>
    <t>Cost of Renting</t>
  </si>
  <si>
    <t>Annual Rent</t>
  </si>
  <si>
    <t>Renter's Annual Insurance Premium</t>
  </si>
  <si>
    <t>Total Annual Cost of Renting</t>
  </si>
  <si>
    <t>Cost of Buying</t>
  </si>
  <si>
    <t>Mortgage Loan Amount</t>
  </si>
  <si>
    <t>Annual Interest Rate</t>
  </si>
  <si>
    <t>Term of Mortgage(Years)</t>
  </si>
  <si>
    <t>Monthly Mortgage Payment</t>
  </si>
  <si>
    <t>Annual Mortgage Payment</t>
  </si>
  <si>
    <t>Property Taxes</t>
  </si>
  <si>
    <t>Homeowner's Insurance</t>
  </si>
  <si>
    <t>Maintenance</t>
  </si>
  <si>
    <t>Opportunity Cost of Buying</t>
  </si>
  <si>
    <t>Total Cost of Buying</t>
  </si>
  <si>
    <t>Less Adjustment</t>
  </si>
  <si>
    <t>Principal Reduction in Mortgage</t>
  </si>
  <si>
    <t>Tax Savings of Interest Deductions</t>
  </si>
  <si>
    <t>Tax Savings of Property Tax</t>
  </si>
  <si>
    <t>Total Adjustments</t>
  </si>
  <si>
    <t>Annual After Tax Cost of Home Ownership</t>
  </si>
  <si>
    <t>Less:</t>
  </si>
  <si>
    <t>Estimated Annual Appreciation in Value of Home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</si>
</sst>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\$#,##0_ ;[Red]\(\$#,##0\)"/>
    <numFmt numFmtId="177" formatCode="\$#,##0.00_ ;[Red]\(\$#,##0.00\)"/>
  </numFmts>
  <fonts count="7" x14ac:knownFonts="1">
    <font>
      <sz val="11"/>
      <color theme="1"/>
      <name val="等线"/>
      <family val="2"/>
      <charset val="134"/>
      <scheme val="minor"/>
    </font>
    <font>
      <b/>
      <sz val="16"/>
      <color indexed="8"/>
      <name val="Arial"/>
      <family val="2"/>
    </font>
    <font>
      <sz val="9"/>
      <name val="等线"/>
      <family val="2"/>
      <charset val="134"/>
      <scheme val="minor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</fills>
  <borders count="9">
    <border>
      <left/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3" fillId="0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0" fillId="3" borderId="0" xfId="0" applyFill="1">
      <alignment vertical="center"/>
    </xf>
    <xf numFmtId="0" fontId="3" fillId="3" borderId="0" xfId="0" applyFont="1" applyFill="1" applyAlignment="1" applyProtection="1">
      <alignment horizontal="center" vertical="center"/>
      <protection locked="0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176" fontId="0" fillId="0" borderId="7" xfId="0" applyNumberFormat="1" applyFont="1" applyFill="1" applyBorder="1" applyAlignment="1" applyProtection="1">
      <alignment vertical="center"/>
      <protection locked="0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176" fontId="0" fillId="0" borderId="8" xfId="0" applyNumberFormat="1" applyFont="1" applyFill="1" applyBorder="1" applyAlignment="1" applyProtection="1">
      <alignment vertical="center"/>
      <protection locked="0"/>
    </xf>
    <xf numFmtId="177" fontId="0" fillId="0" borderId="7" xfId="0" applyNumberFormat="1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177" fontId="0" fillId="0" borderId="8" xfId="0" applyNumberFormat="1" applyFont="1" applyFill="1" applyBorder="1" applyAlignment="1" applyProtection="1">
      <alignment vertical="center"/>
      <protection locked="0"/>
    </xf>
    <xf numFmtId="0" fontId="6" fillId="0" borderId="1" xfId="0" applyFont="1" applyFill="1" applyBorder="1" applyAlignment="1">
      <alignment horizontal="right" vertical="center"/>
    </xf>
    <xf numFmtId="0" fontId="6" fillId="0" borderId="2" xfId="0" applyFont="1" applyFill="1" applyBorder="1" applyAlignment="1">
      <alignment horizontal="right" vertical="center"/>
    </xf>
    <xf numFmtId="0" fontId="6" fillId="0" borderId="3" xfId="0" applyFont="1" applyFill="1" applyBorder="1" applyAlignment="1">
      <alignment horizontal="right" vertical="center"/>
    </xf>
    <xf numFmtId="0" fontId="6" fillId="0" borderId="1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6" fillId="0" borderId="3" xfId="0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3" xfId="0" applyFont="1" applyFill="1" applyBorder="1" applyAlignment="1">
      <alignment vertical="center"/>
    </xf>
  </cellXfs>
  <cellStyles count="1">
    <cellStyle name="常规" xfId="0" builtinId="0"/>
  </cellStyles>
  <dxfs count="1">
    <dxf>
      <font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8"/>
  <sheetViews>
    <sheetView tabSelected="1" workbookViewId="0">
      <selection activeCell="G10" sqref="G10"/>
    </sheetView>
  </sheetViews>
  <sheetFormatPr defaultColWidth="8" defaultRowHeight="14.25" x14ac:dyDescent="0.2"/>
  <cols>
    <col min="1" max="1" width="10" customWidth="1"/>
    <col min="3" max="3" width="8.625" customWidth="1"/>
    <col min="4" max="4" width="17.125" customWidth="1"/>
    <col min="5" max="5" width="11.5" customWidth="1"/>
    <col min="6" max="6" width="35.375" customWidth="1"/>
    <col min="7" max="7" width="17.25" customWidth="1"/>
  </cols>
  <sheetData>
    <row r="1" spans="1:7" ht="20.25" x14ac:dyDescent="0.2">
      <c r="A1" s="1" t="s">
        <v>0</v>
      </c>
      <c r="B1" s="1"/>
      <c r="C1" s="1"/>
      <c r="D1" s="1"/>
      <c r="E1" s="1"/>
      <c r="F1" s="1"/>
      <c r="G1" s="2"/>
    </row>
    <row r="2" spans="1:7" x14ac:dyDescent="0.2">
      <c r="A2" s="3"/>
      <c r="B2" s="3"/>
      <c r="C2" s="3"/>
      <c r="D2" s="4"/>
      <c r="E2" s="4" t="s">
        <v>1</v>
      </c>
      <c r="F2" s="4"/>
      <c r="G2" s="2"/>
    </row>
    <row r="3" spans="1:7" x14ac:dyDescent="0.2">
      <c r="A3" s="5"/>
      <c r="B3" s="5"/>
      <c r="C3" s="5"/>
      <c r="D3" s="6"/>
      <c r="E3" s="6" t="s">
        <v>2</v>
      </c>
      <c r="F3" s="6"/>
      <c r="G3" s="2"/>
    </row>
    <row r="4" spans="1:7" x14ac:dyDescent="0.2">
      <c r="A4" s="7" t="s">
        <v>3</v>
      </c>
      <c r="B4" s="8"/>
      <c r="C4" s="8"/>
      <c r="D4" s="9"/>
      <c r="E4" s="10"/>
      <c r="F4" s="10"/>
      <c r="G4" s="2"/>
    </row>
    <row r="5" spans="1:7" ht="12.75" customHeight="1" x14ac:dyDescent="0.2">
      <c r="A5" s="11" t="s">
        <v>4</v>
      </c>
      <c r="B5" s="12"/>
      <c r="C5" s="12"/>
      <c r="D5" s="13"/>
      <c r="F5" s="14"/>
      <c r="G5" s="2"/>
    </row>
    <row r="6" spans="1:7" x14ac:dyDescent="0.2">
      <c r="A6" s="15" t="s">
        <v>5</v>
      </c>
      <c r="B6" s="16"/>
      <c r="C6" s="16"/>
      <c r="D6" s="17"/>
      <c r="E6" s="18"/>
      <c r="F6" s="19"/>
      <c r="G6" s="2"/>
    </row>
    <row r="7" spans="1:7" x14ac:dyDescent="0.2">
      <c r="A7" s="15" t="s">
        <v>6</v>
      </c>
      <c r="B7" s="16"/>
      <c r="C7" s="16"/>
      <c r="D7" s="17"/>
      <c r="F7" s="14"/>
      <c r="G7" s="2"/>
    </row>
    <row r="8" spans="1:7" x14ac:dyDescent="0.2">
      <c r="A8" s="15" t="s">
        <v>7</v>
      </c>
      <c r="B8" s="16"/>
      <c r="C8" s="16"/>
      <c r="D8" s="17"/>
      <c r="E8" s="18"/>
      <c r="F8" s="14"/>
      <c r="G8" s="2"/>
    </row>
    <row r="9" spans="1:7" x14ac:dyDescent="0.2">
      <c r="A9" s="15" t="s">
        <v>8</v>
      </c>
      <c r="B9" s="16"/>
      <c r="C9" s="16"/>
      <c r="D9" s="17"/>
      <c r="F9" s="14"/>
      <c r="G9" s="2"/>
    </row>
    <row r="10" spans="1:7" x14ac:dyDescent="0.2">
      <c r="A10" s="15" t="s">
        <v>9</v>
      </c>
      <c r="B10" s="16"/>
      <c r="C10" s="16"/>
      <c r="D10" s="17"/>
      <c r="F10" s="14"/>
      <c r="G10" s="2"/>
    </row>
    <row r="11" spans="1:7" x14ac:dyDescent="0.2">
      <c r="A11" s="15" t="s">
        <v>10</v>
      </c>
      <c r="B11" s="16"/>
      <c r="C11" s="16"/>
      <c r="D11" s="17"/>
      <c r="F11" s="14"/>
      <c r="G11" s="2"/>
    </row>
    <row r="12" spans="1:7" x14ac:dyDescent="0.2">
      <c r="A12" s="10"/>
      <c r="B12" s="10"/>
      <c r="C12" s="10"/>
      <c r="D12" s="10"/>
      <c r="E12" s="10"/>
      <c r="F12" s="10"/>
      <c r="G12" s="2"/>
    </row>
    <row r="13" spans="1:7" x14ac:dyDescent="0.2">
      <c r="A13" s="10"/>
      <c r="B13" s="10"/>
      <c r="C13" s="10"/>
      <c r="D13" s="10"/>
      <c r="E13" s="10"/>
      <c r="F13" s="10"/>
      <c r="G13" s="2"/>
    </row>
    <row r="14" spans="1:7" x14ac:dyDescent="0.2">
      <c r="A14" s="7" t="s">
        <v>11</v>
      </c>
      <c r="B14" s="8"/>
      <c r="C14" s="8"/>
      <c r="D14" s="9"/>
      <c r="G14" s="2"/>
    </row>
    <row r="15" spans="1:7" x14ac:dyDescent="0.2">
      <c r="A15" s="15" t="s">
        <v>12</v>
      </c>
      <c r="B15" s="16"/>
      <c r="C15" s="16"/>
      <c r="D15" s="17"/>
      <c r="F15" s="20" t="str">
        <f>IF(F11,12*F11,"")</f>
        <v/>
      </c>
      <c r="G15" s="2"/>
    </row>
    <row r="16" spans="1:7" x14ac:dyDescent="0.2">
      <c r="A16" s="15" t="s">
        <v>13</v>
      </c>
      <c r="B16" s="16"/>
      <c r="C16" s="16"/>
      <c r="D16" s="17"/>
      <c r="F16" s="20"/>
      <c r="G16" s="2"/>
    </row>
    <row r="17" spans="1:7" x14ac:dyDescent="0.2">
      <c r="A17" s="10"/>
      <c r="B17" s="10"/>
      <c r="C17" s="10"/>
      <c r="D17" s="10"/>
      <c r="E17" s="10"/>
      <c r="F17" s="10"/>
      <c r="G17" s="2"/>
    </row>
    <row r="18" spans="1:7" x14ac:dyDescent="0.2">
      <c r="A18" s="21" t="s">
        <v>14</v>
      </c>
      <c r="B18" s="22"/>
      <c r="C18" s="22"/>
      <c r="D18" s="23"/>
      <c r="F18" s="20" t="str">
        <f>IF(SUM(F15:F16),SUM(F15:F16),"")</f>
        <v/>
      </c>
      <c r="G18" s="2"/>
    </row>
    <row r="19" spans="1:7" x14ac:dyDescent="0.2">
      <c r="A19" s="10"/>
      <c r="B19" s="10"/>
      <c r="C19" s="10"/>
      <c r="D19" s="10"/>
      <c r="E19" s="10"/>
      <c r="F19" s="10"/>
      <c r="G19" s="2"/>
    </row>
    <row r="20" spans="1:7" x14ac:dyDescent="0.2">
      <c r="A20" s="10"/>
      <c r="B20" s="10"/>
      <c r="C20" s="10"/>
      <c r="D20" s="10"/>
      <c r="E20" s="10"/>
      <c r="F20" s="10"/>
      <c r="G20" s="2"/>
    </row>
    <row r="21" spans="1:7" x14ac:dyDescent="0.2">
      <c r="A21" s="7" t="s">
        <v>15</v>
      </c>
      <c r="B21" s="8"/>
      <c r="C21" s="8"/>
      <c r="D21" s="9"/>
      <c r="E21" s="2"/>
      <c r="F21" s="2"/>
      <c r="G21" s="2"/>
    </row>
    <row r="22" spans="1:7" x14ac:dyDescent="0.2">
      <c r="A22" s="15" t="s">
        <v>16</v>
      </c>
      <c r="B22" s="16"/>
      <c r="C22" s="16"/>
      <c r="D22" s="17"/>
      <c r="F22" s="20"/>
      <c r="G22" s="2"/>
    </row>
    <row r="23" spans="1:7" x14ac:dyDescent="0.2">
      <c r="A23" s="15" t="s">
        <v>17</v>
      </c>
      <c r="B23" s="16"/>
      <c r="C23" s="16"/>
      <c r="D23" s="17"/>
      <c r="F23" s="20"/>
      <c r="G23" s="2"/>
    </row>
    <row r="24" spans="1:7" x14ac:dyDescent="0.2">
      <c r="A24" s="15" t="s">
        <v>18</v>
      </c>
      <c r="B24" s="16"/>
      <c r="C24" s="16"/>
      <c r="D24" s="17"/>
      <c r="F24" s="20"/>
      <c r="G24" s="2"/>
    </row>
    <row r="25" spans="1:7" x14ac:dyDescent="0.2">
      <c r="A25" s="15" t="s">
        <v>19</v>
      </c>
      <c r="B25" s="16"/>
      <c r="C25" s="16"/>
      <c r="D25" s="17"/>
      <c r="F25" s="20">
        <f>IF(AND(AND(F22&gt;0,F23&gt;0),F24&gt;0),PMT(F23/12,F24*12,-(F22)),0)</f>
        <v>0</v>
      </c>
      <c r="G25" s="2"/>
    </row>
    <row r="26" spans="1:7" x14ac:dyDescent="0.2">
      <c r="A26" s="15" t="s">
        <v>20</v>
      </c>
      <c r="B26" s="16"/>
      <c r="C26" s="16"/>
      <c r="D26" s="17"/>
      <c r="F26" s="20" t="str">
        <f>IF(F25&gt;0,F25*12,"")</f>
        <v/>
      </c>
      <c r="G26" s="2"/>
    </row>
    <row r="27" spans="1:7" x14ac:dyDescent="0.2">
      <c r="A27" s="15" t="s">
        <v>21</v>
      </c>
      <c r="B27" s="16"/>
      <c r="C27" s="16"/>
      <c r="D27" s="17"/>
      <c r="F27" s="20"/>
      <c r="G27" s="2"/>
    </row>
    <row r="28" spans="1:7" x14ac:dyDescent="0.2">
      <c r="A28" s="15" t="s">
        <v>22</v>
      </c>
      <c r="B28" s="16"/>
      <c r="C28" s="16"/>
      <c r="D28" s="17"/>
      <c r="F28" s="20"/>
      <c r="G28" s="2"/>
    </row>
    <row r="29" spans="1:7" x14ac:dyDescent="0.2">
      <c r="A29" s="15" t="s">
        <v>23</v>
      </c>
      <c r="B29" s="16"/>
      <c r="C29" s="16"/>
      <c r="D29" s="17"/>
      <c r="F29" s="20"/>
      <c r="G29" s="2"/>
    </row>
    <row r="30" spans="1:7" x14ac:dyDescent="0.2">
      <c r="A30" s="24" t="s">
        <v>24</v>
      </c>
      <c r="B30" s="25"/>
      <c r="C30" s="25"/>
      <c r="D30" s="26"/>
      <c r="F30" s="20" t="str">
        <f>IF(AND(SUM(F8:F9),F5),SUM(F8:F9)*F5,"")</f>
        <v/>
      </c>
      <c r="G30" s="2"/>
    </row>
    <row r="31" spans="1:7" x14ac:dyDescent="0.2">
      <c r="A31" s="10"/>
      <c r="B31" s="10"/>
      <c r="C31" s="10"/>
      <c r="D31" s="10"/>
      <c r="E31" s="10"/>
      <c r="F31" s="10"/>
      <c r="G31" s="2"/>
    </row>
    <row r="32" spans="1:7" x14ac:dyDescent="0.2">
      <c r="A32" s="21" t="s">
        <v>25</v>
      </c>
      <c r="B32" s="22"/>
      <c r="C32" s="22"/>
      <c r="D32" s="23"/>
      <c r="F32" s="27" t="str">
        <f>IF(SUM(F27:F30),SUM(F27:F30),"")</f>
        <v/>
      </c>
      <c r="G32" s="2"/>
    </row>
    <row r="33" spans="1:7" x14ac:dyDescent="0.2">
      <c r="A33" s="10"/>
      <c r="B33" s="10"/>
      <c r="C33" s="10"/>
      <c r="D33" s="10"/>
      <c r="E33" s="10"/>
      <c r="F33" s="10"/>
      <c r="G33" s="2"/>
    </row>
    <row r="34" spans="1:7" x14ac:dyDescent="0.2">
      <c r="A34" s="10"/>
      <c r="B34" s="10"/>
      <c r="C34" s="10"/>
      <c r="D34" s="10"/>
      <c r="E34" s="10"/>
      <c r="F34" s="10"/>
      <c r="G34" s="2"/>
    </row>
    <row r="35" spans="1:7" x14ac:dyDescent="0.2">
      <c r="A35" s="7" t="s">
        <v>26</v>
      </c>
      <c r="B35" s="8"/>
      <c r="C35" s="8"/>
      <c r="D35" s="9"/>
      <c r="E35" s="2"/>
      <c r="F35" s="2"/>
      <c r="G35" s="2"/>
    </row>
    <row r="36" spans="1:7" x14ac:dyDescent="0.2">
      <c r="A36" s="24" t="s">
        <v>27</v>
      </c>
      <c r="B36" s="25"/>
      <c r="C36" s="25"/>
      <c r="D36" s="26"/>
      <c r="F36" s="20" t="str">
        <f>IF(AND(F22&gt;0,F23&gt;0,F26&gt;0,F26&gt;(F22*F23)),+F26-(F22*F23),"")</f>
        <v/>
      </c>
      <c r="G36" s="2"/>
    </row>
    <row r="37" spans="1:7" x14ac:dyDescent="0.2">
      <c r="A37" s="24" t="s">
        <v>28</v>
      </c>
      <c r="B37" s="25"/>
      <c r="C37" s="25"/>
      <c r="D37" s="26"/>
      <c r="F37" s="20" t="e">
        <f>IF(AND(F7&gt;0,F26&gt;0,F36&gt;0,(F26-F36&gt;0)),(F26-F36)*F7,"")</f>
        <v>#VALUE!</v>
      </c>
      <c r="G37" s="2"/>
    </row>
    <row r="38" spans="1:7" x14ac:dyDescent="0.2">
      <c r="A38" s="24" t="s">
        <v>29</v>
      </c>
      <c r="B38" s="25"/>
      <c r="C38" s="25"/>
      <c r="D38" s="26"/>
      <c r="F38" s="20" t="str">
        <f>IF(AND(F27&gt;0,F7&gt;0),+F27*F7,"")</f>
        <v/>
      </c>
      <c r="G38" s="2"/>
    </row>
    <row r="39" spans="1:7" x14ac:dyDescent="0.2">
      <c r="A39" s="10"/>
      <c r="B39" s="10"/>
      <c r="C39" s="10"/>
      <c r="D39" s="10"/>
      <c r="E39" s="10"/>
      <c r="F39" s="10"/>
      <c r="G39" s="2"/>
    </row>
    <row r="40" spans="1:7" x14ac:dyDescent="0.2">
      <c r="A40" s="21" t="s">
        <v>30</v>
      </c>
      <c r="B40" s="22"/>
      <c r="C40" s="22"/>
      <c r="D40" s="23"/>
      <c r="F40" s="20" t="e">
        <f>IF(AND(F36&gt;0,F37&gt;0,F38&gt;0),SUM(F36:F38),"")</f>
        <v>#VALUE!</v>
      </c>
      <c r="G40" s="2"/>
    </row>
    <row r="41" spans="1:7" x14ac:dyDescent="0.2">
      <c r="A41" s="10"/>
      <c r="B41" s="10"/>
      <c r="C41" s="10"/>
      <c r="D41" s="10"/>
      <c r="E41" s="10"/>
      <c r="F41" s="10"/>
      <c r="G41" s="2"/>
    </row>
    <row r="42" spans="1:7" x14ac:dyDescent="0.2">
      <c r="A42" s="28" t="s">
        <v>31</v>
      </c>
      <c r="B42" s="29"/>
      <c r="C42" s="29"/>
      <c r="D42" s="30"/>
      <c r="F42" s="20" t="e">
        <f>IF(AND(F32&gt;0,F40&gt;0),+F32-F40,"")</f>
        <v>#VALUE!</v>
      </c>
      <c r="G42" s="2"/>
    </row>
    <row r="43" spans="1:7" x14ac:dyDescent="0.2">
      <c r="A43" s="10"/>
      <c r="B43" s="10"/>
      <c r="C43" s="10"/>
      <c r="D43" s="10"/>
      <c r="E43" s="10"/>
      <c r="F43" s="10"/>
      <c r="G43" s="2"/>
    </row>
    <row r="44" spans="1:7" x14ac:dyDescent="0.2">
      <c r="A44" s="7" t="s">
        <v>32</v>
      </c>
      <c r="B44" s="8"/>
      <c r="C44" s="8"/>
      <c r="D44" s="9"/>
      <c r="E44" s="2"/>
      <c r="F44" s="2"/>
      <c r="G44" s="2"/>
    </row>
    <row r="45" spans="1:7" x14ac:dyDescent="0.2">
      <c r="A45" s="31" t="s">
        <v>33</v>
      </c>
      <c r="B45" s="32"/>
      <c r="C45" s="32"/>
      <c r="D45" s="33"/>
      <c r="F45" s="20" t="e">
        <f>IF(AND(F10&gt;0,#REF!&gt;0),F10*#REF!,"")</f>
        <v>#REF!</v>
      </c>
      <c r="G45" s="2"/>
    </row>
    <row r="46" spans="1:7" x14ac:dyDescent="0.2">
      <c r="A46" s="10"/>
      <c r="B46" s="10"/>
      <c r="C46" s="10"/>
      <c r="D46" s="10"/>
      <c r="E46" s="10"/>
      <c r="F46" s="10"/>
      <c r="G46" s="2"/>
    </row>
    <row r="47" spans="1:7" x14ac:dyDescent="0.2">
      <c r="A47" s="34"/>
      <c r="B47" s="34"/>
      <c r="C47" s="34"/>
      <c r="D47" s="35"/>
      <c r="F47" s="20" t="e">
        <f>IF(AND(F42&gt;0,F45&gt;0),+F42-F45,"")</f>
        <v>#VALUE!</v>
      </c>
      <c r="G47" s="2"/>
    </row>
    <row r="48" spans="1:7" x14ac:dyDescent="0.2">
      <c r="A48" s="10"/>
      <c r="B48" s="10"/>
      <c r="C48" s="10"/>
      <c r="D48" s="10"/>
      <c r="E48" s="10"/>
      <c r="F48" s="10"/>
      <c r="G48" s="2"/>
    </row>
  </sheetData>
  <mergeCells count="33">
    <mergeCell ref="A44:D44"/>
    <mergeCell ref="A45:D45"/>
    <mergeCell ref="A47:D47"/>
    <mergeCell ref="A35:D35"/>
    <mergeCell ref="A36:D36"/>
    <mergeCell ref="A37:D37"/>
    <mergeCell ref="A38:D38"/>
    <mergeCell ref="A40:D40"/>
    <mergeCell ref="A42:D42"/>
    <mergeCell ref="A26:D26"/>
    <mergeCell ref="A27:D27"/>
    <mergeCell ref="A28:D28"/>
    <mergeCell ref="A29:D29"/>
    <mergeCell ref="A30:D30"/>
    <mergeCell ref="A32:D32"/>
    <mergeCell ref="A18:D18"/>
    <mergeCell ref="A21:D21"/>
    <mergeCell ref="A22:D22"/>
    <mergeCell ref="A23:D23"/>
    <mergeCell ref="A24:D24"/>
    <mergeCell ref="A25:D25"/>
    <mergeCell ref="A9:D9"/>
    <mergeCell ref="A10:D10"/>
    <mergeCell ref="A11:D11"/>
    <mergeCell ref="A14:D14"/>
    <mergeCell ref="A15:D15"/>
    <mergeCell ref="A16:D16"/>
    <mergeCell ref="A1:F1"/>
    <mergeCell ref="A4:D4"/>
    <mergeCell ref="A5:D5"/>
    <mergeCell ref="A6:D6"/>
    <mergeCell ref="A7:D7"/>
    <mergeCell ref="A8:D8"/>
  </mergeCells>
  <phoneticPr fontId="2" type="noConversion"/>
  <conditionalFormatting sqref="F47 F40 F36:F37 F26 F42">
    <cfRule type="cellIs" dxfId="0" priority="1" stopIfTrue="1" operator="equal">
      <formula>#VALUE!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caixiaohe</cp:lastModifiedBy>
  <dcterms:created xsi:type="dcterms:W3CDTF">2019-03-27T07:36:21Z</dcterms:created>
  <dcterms:modified xsi:type="dcterms:W3CDTF">2019-03-27T07:36:41Z</dcterms:modified>
</cp:coreProperties>
</file>