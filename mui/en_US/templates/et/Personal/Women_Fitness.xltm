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caixiaohe\Desktop\模板\Personal\"/>
    </mc:Choice>
  </mc:AlternateContent>
  <bookViews>
    <workbookView xWindow="0" yWindow="0" windowWidth="28800" windowHeight="12900"/>
  </bookViews>
  <sheets>
    <sheet name="Sheet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0" i="1" l="1"/>
  <c r="D20" i="1"/>
  <c r="K19" i="1"/>
  <c r="K20" i="1" s="1"/>
  <c r="J19" i="1"/>
  <c r="J20" i="1" s="1"/>
  <c r="I19" i="1"/>
  <c r="I20" i="1" s="1"/>
  <c r="H19" i="1"/>
  <c r="G19" i="1"/>
  <c r="G20" i="1" s="1"/>
  <c r="F19" i="1"/>
  <c r="F20" i="1" s="1"/>
  <c r="E19" i="1"/>
  <c r="E20" i="1" s="1"/>
  <c r="D19" i="1"/>
  <c r="C19" i="1"/>
  <c r="C20" i="1" s="1"/>
  <c r="K18" i="1"/>
  <c r="J18" i="1"/>
  <c r="I18" i="1"/>
  <c r="H18" i="1"/>
  <c r="G18" i="1"/>
  <c r="F18" i="1"/>
  <c r="E18" i="1"/>
  <c r="D18" i="1"/>
  <c r="C18" i="1"/>
  <c r="K17" i="1"/>
  <c r="G17" i="1"/>
  <c r="C17" i="1"/>
  <c r="K16" i="1"/>
  <c r="J16" i="1"/>
  <c r="J17" i="1" s="1"/>
  <c r="I16" i="1"/>
  <c r="I17" i="1" s="1"/>
  <c r="H16" i="1"/>
  <c r="H17" i="1" s="1"/>
  <c r="G16" i="1"/>
  <c r="F16" i="1"/>
  <c r="F17" i="1" s="1"/>
  <c r="E16" i="1"/>
  <c r="E17" i="1" s="1"/>
  <c r="D16" i="1"/>
  <c r="D17" i="1" s="1"/>
  <c r="C16" i="1"/>
</calcChain>
</file>

<file path=xl/comments1.xml><?xml version="1.0" encoding="utf-8"?>
<comments xmlns="http://schemas.openxmlformats.org/spreadsheetml/2006/main">
  <authors>
    <author>Kingsoft</author>
  </authors>
  <commentList>
    <comment ref="C4" authorId="0" shapeId="0">
      <text>
        <r>
          <rPr>
            <sz val="9"/>
            <rFont val="Arial"/>
            <family val="2"/>
          </rPr>
          <t xml:space="preserve">Height: input feet of your height. eg: if your height is 6.2 input only 6
</t>
        </r>
      </text>
    </comment>
    <comment ref="D4" authorId="0" shapeId="0">
      <text>
        <r>
          <rPr>
            <sz val="9"/>
            <rFont val="Arial"/>
            <family val="2"/>
          </rPr>
          <t>Height: input inches of your height. eg: if your height is 6 feet 
2 5/8  inches, input only 2 5/8. The fraction will be automatically converted to decimal</t>
        </r>
      </text>
    </comment>
    <comment ref="B18" authorId="0" shapeId="0">
      <text>
        <r>
          <rPr>
            <sz val="9"/>
            <rFont val="Arial"/>
            <family val="2"/>
          </rPr>
          <t>Body Fat Percentage Classification :
Women (% fat) 
Essential Fat 10-12%
Athletes 14-20%   
Fitness 21-24% 	
Acceptable 25-31% 	
Obese 32% + 	
 Men (% fat)
Essential Fat 2-4%
Athletes 6-13%
Fitness 14-17%
Acceptable 18-25%
Obese 25% +</t>
        </r>
      </text>
    </comment>
    <comment ref="B19" authorId="0" shapeId="0">
      <text>
        <r>
          <rPr>
            <sz val="9"/>
            <rFont val="Arial"/>
            <family val="2"/>
          </rPr>
          <t xml:space="preserve">BMI:    * A BMI of less than 18.5 is considered underweight.
    * A BMI of 18.5 to 24.9 is considered healthy.
    * A BMI of 25 to 29.9 is considered overweight.
    * A BMI of 30 or more is considered obese. </t>
        </r>
      </text>
    </comment>
  </commentList>
</comments>
</file>

<file path=xl/sharedStrings.xml><?xml version="1.0" encoding="utf-8"?>
<sst xmlns="http://schemas.openxmlformats.org/spreadsheetml/2006/main" count="14" uniqueCount="14">
  <si>
    <t>FITNESS CHART FOR WOMEN</t>
  </si>
  <si>
    <t>Name:</t>
  </si>
  <si>
    <t>Height:</t>
  </si>
  <si>
    <t>Weight (pounds)</t>
  </si>
  <si>
    <t>Chest (inches)</t>
  </si>
  <si>
    <t>Waist (inches)</t>
  </si>
  <si>
    <t>Hips (inches)</t>
  </si>
  <si>
    <t>Wrist (inches)</t>
  </si>
  <si>
    <t>Forearm (inches)</t>
  </si>
  <si>
    <t>Lean Body Weight</t>
  </si>
  <si>
    <t xml:space="preserve">Body Fat Weight </t>
  </si>
  <si>
    <t>Body Fat Percentage</t>
  </si>
  <si>
    <t>Body Mass Index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</si>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</sst>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_);[Red]\(0.000\)"/>
    <numFmt numFmtId="177" formatCode="d/mmm/yyyy;\-;\-;@"/>
    <numFmt numFmtId="178" formatCode="0.00_);[Red]\(0.00\)"/>
  </numFmts>
  <fonts count="8" x14ac:knownFonts="1">
    <font>
      <sz val="11"/>
      <color theme="1"/>
      <name val="等线"/>
      <family val="2"/>
      <charset val="134"/>
      <scheme val="minor"/>
    </font>
    <font>
      <sz val="10"/>
      <name val="Tahoma"/>
      <family val="2"/>
    </font>
    <font>
      <sz val="9"/>
      <name val="等线"/>
      <family val="2"/>
      <charset val="134"/>
      <scheme val="minor"/>
    </font>
    <font>
      <b/>
      <sz val="18"/>
      <color indexed="9"/>
      <name val="Tahoma"/>
      <family val="2"/>
    </font>
    <font>
      <sz val="14"/>
      <name val="Tahoma"/>
      <family val="2"/>
    </font>
    <font>
      <sz val="8"/>
      <name val="Tahoma"/>
      <family val="2"/>
    </font>
    <font>
      <sz val="10"/>
      <name val="Arial"/>
      <family val="2"/>
    </font>
    <font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hair">
        <color auto="1"/>
      </left>
      <right/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</borders>
  <cellStyleXfs count="8">
    <xf numFmtId="0" fontId="0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</cellStyleXfs>
  <cellXfs count="35">
    <xf numFmtId="0" fontId="0" fillId="0" borderId="0" xfId="0">
      <alignment vertical="center"/>
    </xf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1" fillId="0" borderId="0" xfId="0" applyFont="1">
      <alignment vertical="center"/>
    </xf>
    <xf numFmtId="0" fontId="4" fillId="3" borderId="0" xfId="0" applyFont="1" applyFill="1" applyBorder="1" applyAlignment="1">
      <alignment horizontal="right" vertical="center"/>
    </xf>
    <xf numFmtId="0" fontId="1" fillId="0" borderId="0" xfId="0" applyFont="1" applyFill="1" applyAlignment="1" applyProtection="1">
      <alignment vertical="center"/>
      <protection locked="0"/>
    </xf>
    <xf numFmtId="0" fontId="4" fillId="3" borderId="0" xfId="0" applyFont="1" applyFill="1" applyAlignment="1">
      <alignment horizontal="right" vertical="center"/>
    </xf>
    <xf numFmtId="0" fontId="1" fillId="0" borderId="1" xfId="0" applyFont="1" applyFill="1" applyBorder="1" applyAlignment="1" applyProtection="1">
      <alignment vertical="center"/>
      <protection locked="0"/>
    </xf>
    <xf numFmtId="176" fontId="1" fillId="0" borderId="0" xfId="0" applyNumberFormat="1" applyFont="1" applyFill="1" applyAlignment="1" applyProtection="1">
      <alignment vertical="center"/>
      <protection locked="0"/>
    </xf>
    <xf numFmtId="0" fontId="1" fillId="0" borderId="2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Alignment="1">
      <alignment vertical="center"/>
    </xf>
    <xf numFmtId="177" fontId="5" fillId="0" borderId="0" xfId="0" applyNumberFormat="1" applyFont="1" applyFill="1" applyAlignment="1" applyProtection="1">
      <alignment horizontal="center" vertical="center"/>
      <protection locked="0"/>
    </xf>
    <xf numFmtId="0" fontId="5" fillId="3" borderId="3" xfId="1" applyFont="1" applyFill="1" applyBorder="1" applyAlignment="1">
      <alignment horizontal="right" wrapText="1"/>
    </xf>
    <xf numFmtId="0" fontId="5" fillId="0" borderId="4" xfId="2" applyFont="1" applyFill="1" applyBorder="1" applyAlignment="1" applyProtection="1">
      <protection locked="0"/>
    </xf>
    <xf numFmtId="178" fontId="5" fillId="0" borderId="5" xfId="0" applyNumberFormat="1" applyFont="1" applyFill="1" applyBorder="1" applyAlignment="1" applyProtection="1">
      <alignment horizontal="center" vertical="center"/>
      <protection locked="0"/>
    </xf>
    <xf numFmtId="178" fontId="5" fillId="0" borderId="4" xfId="0" applyNumberFormat="1" applyFont="1" applyFill="1" applyBorder="1" applyAlignment="1" applyProtection="1">
      <alignment horizontal="center" vertical="center"/>
      <protection locked="0"/>
    </xf>
    <xf numFmtId="178" fontId="5" fillId="0" borderId="6" xfId="0" applyNumberFormat="1" applyFont="1" applyFill="1" applyBorder="1" applyAlignment="1" applyProtection="1">
      <alignment horizontal="center" vertical="center"/>
      <protection locked="0"/>
    </xf>
    <xf numFmtId="0" fontId="5" fillId="0" borderId="4" xfId="3" applyFont="1" applyFill="1" applyBorder="1" applyAlignment="1" applyProtection="1">
      <protection locked="0"/>
    </xf>
    <xf numFmtId="178" fontId="5" fillId="0" borderId="7" xfId="0" applyNumberFormat="1" applyFont="1" applyFill="1" applyBorder="1" applyAlignment="1" applyProtection="1">
      <alignment horizontal="center" vertical="center"/>
      <protection locked="0"/>
    </xf>
    <xf numFmtId="178" fontId="5" fillId="0" borderId="8" xfId="0" applyNumberFormat="1" applyFont="1" applyFill="1" applyBorder="1" applyAlignment="1" applyProtection="1">
      <alignment horizontal="center" vertical="center"/>
      <protection locked="0"/>
    </xf>
    <xf numFmtId="178" fontId="5" fillId="0" borderId="9" xfId="0" applyNumberFormat="1" applyFont="1" applyFill="1" applyBorder="1" applyAlignment="1" applyProtection="1">
      <alignment horizontal="center" vertical="center"/>
      <protection locked="0"/>
    </xf>
    <xf numFmtId="0" fontId="5" fillId="0" borderId="4" xfId="4" applyFont="1" applyFill="1" applyBorder="1" applyAlignment="1" applyProtection="1">
      <protection locked="0"/>
    </xf>
    <xf numFmtId="0" fontId="5" fillId="0" borderId="4" xfId="5" applyFont="1" applyFill="1" applyBorder="1" applyAlignment="1" applyProtection="1">
      <protection locked="0"/>
    </xf>
    <xf numFmtId="0" fontId="5" fillId="0" borderId="4" xfId="6" applyFont="1" applyFill="1" applyBorder="1" applyAlignment="1" applyProtection="1">
      <protection locked="0"/>
    </xf>
    <xf numFmtId="0" fontId="5" fillId="0" borderId="4" xfId="7" applyFont="1" applyFill="1" applyBorder="1" applyAlignment="1" applyProtection="1">
      <protection locked="0"/>
    </xf>
    <xf numFmtId="0" fontId="5" fillId="0" borderId="0" xfId="0" applyFont="1" applyAlignment="1">
      <alignment vertical="center"/>
    </xf>
    <xf numFmtId="0" fontId="5" fillId="3" borderId="5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right" vertical="center"/>
    </xf>
    <xf numFmtId="0" fontId="5" fillId="0" borderId="7" xfId="0" applyFont="1" applyFill="1" applyBorder="1" applyAlignment="1">
      <alignment horizontal="center" vertical="center"/>
    </xf>
    <xf numFmtId="10" fontId="5" fillId="0" borderId="7" xfId="0" applyNumberFormat="1" applyFont="1" applyFill="1" applyBorder="1" applyAlignment="1">
      <alignment horizontal="center" vertical="center"/>
    </xf>
    <xf numFmtId="178" fontId="5" fillId="0" borderId="7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178" fontId="5" fillId="0" borderId="0" xfId="0" applyNumberFormat="1" applyFont="1" applyFill="1" applyAlignment="1">
      <alignment horizontal="center" vertical="center"/>
    </xf>
  </cellXfs>
  <cellStyles count="8">
    <cellStyle name="Normal_Sheet1" xfId="1"/>
    <cellStyle name="Normal_Sheet1_1" xfId="2"/>
    <cellStyle name="Normal_Sheet1_2" xfId="3"/>
    <cellStyle name="Normal_Sheet1_3" xfId="4"/>
    <cellStyle name="Normal_Sheet1_4" xfId="5"/>
    <cellStyle name="Normal_Sheet1_5" xfId="6"/>
    <cellStyle name="Normal_Sheet1_6" xfId="7"/>
    <cellStyle name="常规" xfId="0" builtinId="0"/>
  </cellStyles>
  <dxfs count="2">
    <dxf>
      <font>
        <b/>
        <i val="0"/>
        <color indexed="53"/>
      </font>
    </dxf>
    <dxf>
      <font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325" b="1" i="0" u="none" strike="noStrike" kern="1200" baseline="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</a:defRPr>
            </a:pPr>
            <a:r>
              <a:rPr lang="en-US"/>
              <a:t>Fitness Chart</a:t>
            </a:r>
            <a:endParaRPr lang="en-US" sz="1325" b="1" i="0" u="none" strike="noStrike" baseline="0">
              <a:solidFill>
                <a:srgbClr val="000000"/>
              </a:solidFill>
              <a:latin typeface="Arial" panose="020B0604020202020204" charset="-122"/>
              <a:ea typeface="Arial" panose="020B0604020202020204" charset="-122"/>
              <a:cs typeface="Arial" panose="020B0604020202020204" charset="-122"/>
            </a:endParaRP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4.2000000000000003E-2"/>
          <c:y val="0.14149999999999999"/>
          <c:w val="0.83150000000000002"/>
          <c:h val="0.72"/>
        </c:manualLayout>
      </c:layout>
      <c:lineChart>
        <c:grouping val="stacked"/>
        <c:varyColors val="0"/>
        <c:ser>
          <c:idx val="0"/>
          <c:order val="0"/>
          <c:tx>
            <c:strRef>
              <c:f>[1]Sheet1!$B$9</c:f>
              <c:strCache>
                <c:ptCount val="1"/>
                <c:pt idx="0">
                  <c:v>Weight (pounds)</c:v>
                </c:pt>
              </c:strCache>
            </c:strRef>
          </c:tx>
          <c:spPr>
            <a:ln w="12700" cap="rnd" cmpd="sng" algn="ctr">
              <a:solidFill>
                <a:srgbClr val="333333">
                  <a:alpha val="100000"/>
                </a:srgbClr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rgbClr val="000080"/>
              </a:solidFill>
              <a:ln w="6350" cap="flat" cmpd="sng" algn="ctr">
                <a:solidFill>
                  <a:srgbClr val="000080"/>
                </a:solidFill>
                <a:prstDash val="solid"/>
                <a:round/>
              </a:ln>
            </c:spPr>
          </c:marker>
          <c:cat>
            <c:strRef>
              <c:f>[1]Sheet1!$C$7:$K$8</c:f>
              <c:strCache>
                <c:ptCount val="9"/>
                <c:pt idx="0">
                  <c:v>21/Mar/2007</c:v>
                </c:pt>
                <c:pt idx="1">
                  <c:v>22/Mar/2007</c:v>
                </c:pt>
                <c:pt idx="2">
                  <c:v>23/Mar/2007</c:v>
                </c:pt>
                <c:pt idx="3">
                  <c:v>24/Mar/2007</c:v>
                </c:pt>
                <c:pt idx="4">
                  <c:v>25/Mar/2007</c:v>
                </c:pt>
                <c:pt idx="5">
                  <c:v>26/Mar/2007</c:v>
                </c:pt>
                <c:pt idx="6">
                  <c:v>27/Mar/2007</c:v>
                </c:pt>
                <c:pt idx="7">
                  <c:v>28/Mar/2007</c:v>
                </c:pt>
                <c:pt idx="8">
                  <c:v>29/Mar/2007</c:v>
                </c:pt>
              </c:strCache>
            </c:strRef>
          </c:cat>
          <c:val>
            <c:numRef>
              <c:f>[1]Sheet1!$C$9:$K$9</c:f>
              <c:numCache>
                <c:formatCode>0.00_);[Red]\(0.00\)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BA-48D9-9D7E-8C2FBBDCBF27}"/>
            </c:ext>
          </c:extLst>
        </c:ser>
        <c:ser>
          <c:idx val="7"/>
          <c:order val="1"/>
          <c:tx>
            <c:strRef>
              <c:f>[1]Sheet1!$B$16</c:f>
              <c:strCache>
                <c:ptCount val="1"/>
                <c:pt idx="0">
                  <c:v>Lean Body Weight</c:v>
                </c:pt>
              </c:strCache>
            </c:strRef>
          </c:tx>
          <c:spPr>
            <a:ln w="12700" cap="rnd" cmpd="sng" algn="ctr">
              <a:solidFill>
                <a:srgbClr val="0000FF"/>
              </a:solidFill>
              <a:prstDash val="solid"/>
              <a:round/>
            </a:ln>
          </c:spPr>
          <c:marker>
            <c:symbol val="circle"/>
            <c:size val="5"/>
            <c:spPr>
              <a:noFill/>
              <a:ln w="6350" cap="flat" cmpd="sng" algn="ctr">
                <a:solidFill>
                  <a:srgbClr val="000000">
                    <a:alpha val="100000"/>
                  </a:srgbClr>
                </a:solidFill>
                <a:prstDash val="solid"/>
                <a:round/>
              </a:ln>
            </c:spPr>
          </c:marker>
          <c:cat>
            <c:strRef>
              <c:f>[1]Sheet1!$C$7:$K$8</c:f>
              <c:strCache>
                <c:ptCount val="9"/>
                <c:pt idx="0">
                  <c:v>21/Mar/2007</c:v>
                </c:pt>
                <c:pt idx="1">
                  <c:v>22/Mar/2007</c:v>
                </c:pt>
                <c:pt idx="2">
                  <c:v>23/Mar/2007</c:v>
                </c:pt>
                <c:pt idx="3">
                  <c:v>24/Mar/2007</c:v>
                </c:pt>
                <c:pt idx="4">
                  <c:v>25/Mar/2007</c:v>
                </c:pt>
                <c:pt idx="5">
                  <c:v>26/Mar/2007</c:v>
                </c:pt>
                <c:pt idx="6">
                  <c:v>27/Mar/2007</c:v>
                </c:pt>
                <c:pt idx="7">
                  <c:v>28/Mar/2007</c:v>
                </c:pt>
                <c:pt idx="8">
                  <c:v>29/Mar/2007</c:v>
                </c:pt>
              </c:strCache>
            </c:strRef>
          </c:cat>
          <c:val>
            <c:numRef>
              <c:f>[1]Sheet1!$C$16:$K$16</c:f>
              <c:numCache>
                <c:formatCode>General</c:formatCode>
                <c:ptCount val="9"/>
                <c:pt idx="0">
                  <c:v>8.9870000000000001</c:v>
                </c:pt>
                <c:pt idx="1">
                  <c:v>8.9870000000000001</c:v>
                </c:pt>
                <c:pt idx="2">
                  <c:v>8.9870000000000001</c:v>
                </c:pt>
                <c:pt idx="3">
                  <c:v>8.9870000000000001</c:v>
                </c:pt>
                <c:pt idx="4">
                  <c:v>8.9870000000000001</c:v>
                </c:pt>
                <c:pt idx="5">
                  <c:v>8.9870000000000001</c:v>
                </c:pt>
                <c:pt idx="6">
                  <c:v>8.9870000000000001</c:v>
                </c:pt>
                <c:pt idx="7">
                  <c:v>8.9870000000000001</c:v>
                </c:pt>
                <c:pt idx="8">
                  <c:v>8.9870000000000001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BA-48D9-9D7E-8C2FBBDCBF27}"/>
            </c:ext>
          </c:extLst>
        </c:ser>
        <c:ser>
          <c:idx val="10"/>
          <c:order val="2"/>
          <c:tx>
            <c:strRef>
              <c:f>[1]Sheet1!$B$19</c:f>
              <c:strCache>
                <c:ptCount val="1"/>
                <c:pt idx="0">
                  <c:v>Body Mass Index</c:v>
                </c:pt>
              </c:strCache>
            </c:strRef>
          </c:tx>
          <c:spPr>
            <a:ln w="12700" cap="rnd" cmpd="sng" algn="ctr">
              <a:solidFill>
                <a:srgbClr val="339966">
                  <a:alpha val="100000"/>
                </a:srgbClr>
              </a:solidFill>
              <a:prstDash val="solid"/>
              <a:round/>
            </a:ln>
          </c:spPr>
          <c:marker>
            <c:symbol val="square"/>
            <c:size val="5"/>
            <c:spPr>
              <a:solidFill>
                <a:srgbClr val="000000">
                  <a:alpha val="100000"/>
                </a:srgbClr>
              </a:solidFill>
              <a:ln w="6350" cap="flat" cmpd="sng" algn="ctr">
                <a:solidFill>
                  <a:srgbClr val="339966">
                    <a:alpha val="100000"/>
                  </a:srgbClr>
                </a:solidFill>
                <a:prstDash val="solid"/>
                <a:round/>
              </a:ln>
            </c:spPr>
          </c:marker>
          <c:cat>
            <c:strRef>
              <c:f>[1]Sheet1!$C$7:$K$8</c:f>
              <c:strCache>
                <c:ptCount val="9"/>
                <c:pt idx="0">
                  <c:v>21/Mar/2007</c:v>
                </c:pt>
                <c:pt idx="1">
                  <c:v>22/Mar/2007</c:v>
                </c:pt>
                <c:pt idx="2">
                  <c:v>23/Mar/2007</c:v>
                </c:pt>
                <c:pt idx="3">
                  <c:v>24/Mar/2007</c:v>
                </c:pt>
                <c:pt idx="4">
                  <c:v>25/Mar/2007</c:v>
                </c:pt>
                <c:pt idx="5">
                  <c:v>26/Mar/2007</c:v>
                </c:pt>
                <c:pt idx="6">
                  <c:v>27/Mar/2007</c:v>
                </c:pt>
                <c:pt idx="7">
                  <c:v>28/Mar/2007</c:v>
                </c:pt>
                <c:pt idx="8">
                  <c:v>29/Mar/2007</c:v>
                </c:pt>
              </c:strCache>
            </c:strRef>
          </c:cat>
          <c:val>
            <c:numRef>
              <c:f>[1]Sheet1!$C$19:$K$19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BA-48D9-9D7E-8C2FBBDCB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766032"/>
        <c:axId val="283414172"/>
      </c:lineChart>
      <c:dateAx>
        <c:axId val="978766032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1" i="0" u="none" strike="noStrike" kern="1200" baseline="0">
                    <a:solidFill>
                      <a:srgbClr val="000000"/>
                    </a:solidFill>
                    <a:latin typeface="Arial" panose="020B0604020202020204" charset="-122"/>
                    <a:ea typeface="Arial" panose="020B0604020202020204" charset="-122"/>
                    <a:cs typeface="Arial" panose="020B0604020202020204" charset="-122"/>
                  </a:defRPr>
                </a:pPr>
                <a:r>
                  <a:rPr lang="en-US"/>
                  <a:t>Date</a:t>
                </a:r>
                <a:endParaRPr lang="en-US" sz="1000" b="1" i="0" u="none" strike="noStrike" baseline="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</a:endParaRPr>
              </a:p>
            </c:rich>
          </c:tx>
          <c:layout/>
          <c:overlay val="0"/>
        </c:title>
        <c:numFmt formatCode="m\-d;\-;\-;@" sourceLinked="0"/>
        <c:majorTickMark val="in"/>
        <c:minorTickMark val="none"/>
        <c:tickLblPos val="nextTo"/>
        <c:spPr>
          <a:ln w="3175" cap="flat" cmpd="sng" algn="ctr">
            <a:solidFill>
              <a:srgbClr val="000000">
                <a:alpha val="100000"/>
              </a:srgb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</a:defRPr>
            </a:pPr>
            <a:endParaRPr lang="zh-CN"/>
          </a:p>
        </c:txPr>
        <c:crossAx val="283414172"/>
        <c:crosses val="autoZero"/>
        <c:auto val="1"/>
        <c:lblOffset val="100"/>
        <c:baseTimeUnit val="days"/>
        <c:majorUnit val="1"/>
      </c:dateAx>
      <c:valAx>
        <c:axId val="283414172"/>
        <c:scaling>
          <c:orientation val="minMax"/>
        </c:scaling>
        <c:delete val="0"/>
        <c:axPos val="l"/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1" i="0" u="none" strike="noStrike" kern="1200" baseline="0">
                    <a:solidFill>
                      <a:srgbClr val="000000"/>
                    </a:solidFill>
                    <a:latin typeface="Arial" panose="020B0604020202020204" charset="-122"/>
                    <a:ea typeface="Arial" panose="020B0604020202020204" charset="-122"/>
                    <a:cs typeface="Arial" panose="020B0604020202020204" charset="-122"/>
                  </a:defRPr>
                </a:pPr>
                <a:r>
                  <a:rPr lang="en-US"/>
                  <a:t>Scale ( in percent)</a:t>
                </a:r>
                <a:endParaRPr lang="en-US" sz="1000" b="1" i="0" u="none" strike="noStrike" baseline="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</a:endParaRPr>
              </a:p>
            </c:rich>
          </c:tx>
          <c:layout/>
          <c:overlay val="0"/>
        </c:title>
        <c:numFmt formatCode="General" sourceLinked="1"/>
        <c:majorTickMark val="in"/>
        <c:minorTickMark val="none"/>
        <c:tickLblPos val="nextTo"/>
        <c:spPr>
          <a:ln w="3175" cap="flat" cmpd="sng" algn="ctr">
            <a:solidFill>
              <a:srgbClr val="000000">
                <a:alpha val="100000"/>
              </a:srgb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</a:defRPr>
            </a:pPr>
            <a:endParaRPr lang="zh-CN"/>
          </a:p>
        </c:txPr>
        <c:crossAx val="978766032"/>
        <c:crosses val="autoZero"/>
        <c:crossBetween val="between"/>
      </c:valAx>
      <c:spPr>
        <a:solidFill>
          <a:srgbClr val="FFCC00">
            <a:alpha val="100000"/>
          </a:srgbClr>
        </a:solidFill>
        <a:ln w="3175">
          <a:solidFill>
            <a:srgbClr val="808080">
              <a:alpha val="100000"/>
            </a:srgbClr>
          </a:solidFill>
          <a:prstDash val="solid"/>
        </a:ln>
      </c:spPr>
    </c:plotArea>
    <c:legend>
      <c:legendPos val="r"/>
      <c:legendEntry>
        <c:idx val="0"/>
        <c:txPr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FF00FF">
                    <a:alpha val="100000"/>
                  </a:srgbClr>
                </a:solidFill>
                <a:latin typeface="Tahoma" panose="020B0604030504040204" charset="-122"/>
                <a:ea typeface="Tahoma" panose="020B0604030504040204" charset="-122"/>
                <a:cs typeface="Tahoma" panose="020B0604030504040204" charset="-122"/>
              </a:defRPr>
            </a:pPr>
            <a:endParaRPr lang="zh-CN"/>
          </a:p>
        </c:txPr>
      </c:legendEntry>
      <c:legendEntry>
        <c:idx val="1"/>
        <c:txPr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Tahoma\" charset="-122"/>
                <a:ea typeface="Tahoma\" charset="-122"/>
                <a:cs typeface="Tahoma\" charset="-122"/>
              </a:defRPr>
            </a:pPr>
            <a:endParaRPr lang="zh-CN"/>
          </a:p>
        </c:txPr>
      </c:legendEntry>
      <c:legendEntry>
        <c:idx val="2"/>
        <c:txPr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Tahoma" panose="020B0604030504040204" charset="-122"/>
                <a:ea typeface="Tahoma" panose="020B0604030504040204" charset="-122"/>
                <a:cs typeface="Tahoma" panose="020B0604030504040204" charset="-122"/>
              </a:defRPr>
            </a:pPr>
            <a:endParaRPr lang="zh-CN"/>
          </a:p>
        </c:txPr>
      </c:legendEntry>
      <c:layout>
        <c:manualLayout>
          <c:xMode val="edge"/>
          <c:yMode val="edge"/>
          <c:x val="0.19600000000000001"/>
          <c:y val="0.94225000000000003"/>
          <c:w val="0.512827508918695"/>
          <c:h val="5.5202542849677801E-2"/>
        </c:manualLayout>
      </c:layout>
      <c:overlay val="0"/>
      <c:spPr>
        <a:noFill/>
        <a:ln w="3175">
          <a:solidFill>
            <a:srgbClr val="000000">
              <a:alpha val="100000"/>
            </a:srgbClr>
          </a:solidFill>
          <a:prstDash val="solid"/>
        </a:ln>
      </c:spPr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rgbClr val="000000"/>
              </a:solidFill>
              <a:latin typeface="Arial" panose="020B0604020202020204" charset="-122"/>
              <a:ea typeface="Arial" panose="020B0604020202020204" charset="-122"/>
              <a:cs typeface="Arial" panose="020B0604020202020204" charset="-122"/>
            </a:defRPr>
          </a:pPr>
          <a:endParaRPr lang="zh-CN"/>
        </a:p>
      </c:txPr>
    </c:legend>
    <c:plotVisOnly val="1"/>
    <c:dispBlanksAs val="zero"/>
    <c:showDLblsOverMax val="0"/>
  </c:chart>
  <c:spPr>
    <a:solidFill>
      <a:srgbClr val="FFFFFF"/>
    </a:solidFill>
    <a:ln w="3175" cap="flat" cmpd="sng" algn="ctr">
      <a:solidFill>
        <a:srgbClr val="000000">
          <a:alpha val="100000"/>
        </a:srgbClr>
      </a:solidFill>
      <a:prstDash val="solid"/>
      <a:round/>
    </a:ln>
  </c:spPr>
  <c:txPr>
    <a:bodyPr rot="0" wrap="square" anchor="ctr" anchorCtr="1"/>
    <a:lstStyle/>
    <a:p>
      <a:pPr>
        <a:defRPr lang="zh-CN" sz="1000" b="0" i="0" u="none" strike="noStrike" baseline="0">
          <a:solidFill>
            <a:srgbClr val="000000"/>
          </a:solidFill>
          <a:latin typeface="Arial" panose="020B0604020202020204" charset="-122"/>
          <a:ea typeface="Arial" panose="020B0604020202020204" charset="-122"/>
          <a:cs typeface="Arial" panose="020B060402020202020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580390</xdr:colOff>
      <xdr:row>20</xdr:row>
      <xdr:rowOff>57785</xdr:rowOff>
    </xdr:from>
    <xdr:to>
      <xdr:col>10</xdr:col>
      <xdr:colOff>681355</xdr:colOff>
      <xdr:row>43</xdr:row>
      <xdr:rowOff>5080</xdr:rowOff>
    </xdr:to>
    <xdr:graphicFrame macro="">
      <xdr:nvGraphicFramePr>
        <xdr:cNvPr id="2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Women%20Fitnes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8">
          <cell r="C8">
            <v>39162</v>
          </cell>
          <cell r="D8">
            <v>39163</v>
          </cell>
          <cell r="E8">
            <v>39164</v>
          </cell>
          <cell r="F8">
            <v>39165</v>
          </cell>
          <cell r="G8">
            <v>39166</v>
          </cell>
          <cell r="H8">
            <v>39167</v>
          </cell>
          <cell r="I8">
            <v>39168</v>
          </cell>
          <cell r="J8">
            <v>39169</v>
          </cell>
          <cell r="K8">
            <v>39170</v>
          </cell>
        </row>
        <row r="9">
          <cell r="B9" t="str">
            <v>Weight (pounds)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</row>
        <row r="16">
          <cell r="B16" t="str">
            <v>Lean Body Weight</v>
          </cell>
          <cell r="C16">
            <v>8.9870000000000001</v>
          </cell>
          <cell r="D16">
            <v>8.9870000000000001</v>
          </cell>
          <cell r="E16">
            <v>8.9870000000000001</v>
          </cell>
          <cell r="F16">
            <v>8.9870000000000001</v>
          </cell>
          <cell r="G16">
            <v>8.9870000000000001</v>
          </cell>
          <cell r="H16">
            <v>8.9870000000000001</v>
          </cell>
          <cell r="I16">
            <v>8.9870000000000001</v>
          </cell>
          <cell r="J16">
            <v>8.9870000000000001</v>
          </cell>
          <cell r="K16">
            <v>8.9870000000000001</v>
          </cell>
        </row>
        <row r="19">
          <cell r="B19" t="str">
            <v>Body Mass Index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20"/>
  <sheetViews>
    <sheetView tabSelected="1" workbookViewId="0">
      <selection sqref="A1:XFD1048576"/>
    </sheetView>
  </sheetViews>
  <sheetFormatPr defaultColWidth="9" defaultRowHeight="14.25" x14ac:dyDescent="0.2"/>
  <cols>
    <col min="1" max="1" width="8.25" style="1" customWidth="1"/>
    <col min="2" max="2" width="16.875" style="1" customWidth="1"/>
    <col min="3" max="12" width="9" style="1"/>
  </cols>
  <sheetData>
    <row r="1" spans="1:12" s="3" customFormat="1" ht="22.5" x14ac:dyDescent="0.2">
      <c r="A1" s="1"/>
      <c r="B1" s="1"/>
      <c r="C1" s="2" t="s">
        <v>0</v>
      </c>
      <c r="D1" s="2"/>
      <c r="E1" s="2"/>
      <c r="F1" s="2"/>
      <c r="G1" s="2"/>
      <c r="H1" s="1"/>
      <c r="I1" s="1"/>
      <c r="J1" s="1"/>
      <c r="K1" s="1"/>
      <c r="L1" s="1"/>
    </row>
    <row r="2" spans="1:12" s="3" customFormat="1" ht="12.75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s="3" customFormat="1" ht="18" x14ac:dyDescent="0.2">
      <c r="A3" s="1"/>
      <c r="B3" s="4" t="s">
        <v>1</v>
      </c>
      <c r="C3" s="5"/>
      <c r="D3" s="1"/>
      <c r="E3" s="1"/>
      <c r="F3" s="1"/>
      <c r="G3" s="1"/>
      <c r="H3" s="1"/>
      <c r="I3" s="1"/>
      <c r="J3" s="1"/>
      <c r="K3" s="1"/>
      <c r="L3" s="1"/>
    </row>
    <row r="4" spans="1:12" s="3" customFormat="1" ht="18" x14ac:dyDescent="0.2">
      <c r="A4" s="1"/>
      <c r="B4" s="6" t="s">
        <v>2</v>
      </c>
      <c r="C4" s="7"/>
      <c r="D4" s="8"/>
      <c r="E4" s="1"/>
      <c r="F4" s="1"/>
      <c r="G4" s="1"/>
      <c r="H4" s="1"/>
      <c r="I4" s="1"/>
      <c r="J4" s="1"/>
      <c r="K4" s="1"/>
      <c r="L4" s="1"/>
    </row>
    <row r="5" spans="1:12" s="3" customFormat="1" ht="12.75" x14ac:dyDescent="0.2">
      <c r="A5" s="1"/>
      <c r="B5" s="9"/>
      <c r="C5" s="10"/>
      <c r="D5" s="1"/>
      <c r="E5" s="1"/>
      <c r="F5" s="1"/>
      <c r="G5" s="1"/>
      <c r="H5" s="1"/>
      <c r="I5" s="1"/>
      <c r="J5" s="1"/>
      <c r="K5" s="1"/>
      <c r="L5" s="1"/>
    </row>
    <row r="6" spans="1:12" s="3" customFormat="1" ht="12.75" x14ac:dyDescent="0.2">
      <c r="A6" s="1"/>
      <c r="B6" s="11"/>
      <c r="C6" s="11"/>
      <c r="D6" s="1"/>
      <c r="E6" s="1"/>
      <c r="F6" s="1"/>
      <c r="G6" s="1"/>
      <c r="H6" s="1"/>
      <c r="I6" s="1"/>
      <c r="J6" s="1"/>
      <c r="K6" s="1"/>
      <c r="L6" s="1"/>
    </row>
    <row r="7" spans="1:12" s="3" customFormat="1" ht="12.75" x14ac:dyDescent="0.2">
      <c r="A7" s="1"/>
      <c r="B7" s="11"/>
      <c r="C7" s="11"/>
      <c r="D7" s="1"/>
      <c r="E7" s="1"/>
      <c r="F7" s="1"/>
      <c r="G7" s="1"/>
      <c r="H7" s="1"/>
      <c r="I7" s="1"/>
      <c r="J7" s="1"/>
      <c r="K7" s="1"/>
      <c r="L7" s="1"/>
    </row>
    <row r="8" spans="1:12" s="3" customFormat="1" ht="12.75" x14ac:dyDescent="0.2">
      <c r="A8" s="1"/>
      <c r="B8" s="1"/>
      <c r="C8" s="12">
        <v>39162</v>
      </c>
      <c r="D8" s="12">
        <v>39163</v>
      </c>
      <c r="E8" s="12">
        <v>39164</v>
      </c>
      <c r="F8" s="12">
        <v>39165</v>
      </c>
      <c r="G8" s="12">
        <v>39166</v>
      </c>
      <c r="H8" s="12">
        <v>39167</v>
      </c>
      <c r="I8" s="12">
        <v>39168</v>
      </c>
      <c r="J8" s="12">
        <v>39169</v>
      </c>
      <c r="K8" s="12">
        <v>39170</v>
      </c>
      <c r="L8" s="1"/>
    </row>
    <row r="9" spans="1:12" s="3" customFormat="1" ht="12.75" x14ac:dyDescent="0.15">
      <c r="A9" s="1"/>
      <c r="B9" s="13" t="s">
        <v>3</v>
      </c>
      <c r="C9" s="14"/>
      <c r="D9" s="15">
        <v>0</v>
      </c>
      <c r="E9" s="16">
        <v>0</v>
      </c>
      <c r="F9" s="16">
        <v>0</v>
      </c>
      <c r="G9" s="16">
        <v>0</v>
      </c>
      <c r="H9" s="16"/>
      <c r="I9" s="16"/>
      <c r="J9" s="16"/>
      <c r="K9" s="17"/>
      <c r="L9" s="5"/>
    </row>
    <row r="10" spans="1:12" s="3" customFormat="1" ht="12.75" x14ac:dyDescent="0.15">
      <c r="A10" s="1"/>
      <c r="B10" s="13" t="s">
        <v>4</v>
      </c>
      <c r="C10" s="18"/>
      <c r="D10" s="19">
        <v>0</v>
      </c>
      <c r="E10" s="20"/>
      <c r="F10" s="20"/>
      <c r="G10" s="20"/>
      <c r="H10" s="20"/>
      <c r="I10" s="20"/>
      <c r="J10" s="20"/>
      <c r="K10" s="21"/>
      <c r="L10" s="5"/>
    </row>
    <row r="11" spans="1:12" s="3" customFormat="1" ht="12.75" x14ac:dyDescent="0.15">
      <c r="A11" s="1"/>
      <c r="B11" s="13" t="s">
        <v>5</v>
      </c>
      <c r="C11" s="22"/>
      <c r="D11" s="19">
        <v>0</v>
      </c>
      <c r="E11" s="20"/>
      <c r="F11" s="20"/>
      <c r="G11" s="20"/>
      <c r="H11" s="20"/>
      <c r="I11" s="20"/>
      <c r="J11" s="20"/>
      <c r="K11" s="21"/>
      <c r="L11" s="5"/>
    </row>
    <row r="12" spans="1:12" s="3" customFormat="1" ht="12.75" x14ac:dyDescent="0.15">
      <c r="A12" s="1"/>
      <c r="B12" s="13" t="s">
        <v>6</v>
      </c>
      <c r="C12" s="23"/>
      <c r="D12" s="19">
        <v>0</v>
      </c>
      <c r="E12" s="20"/>
      <c r="F12" s="20"/>
      <c r="G12" s="20"/>
      <c r="H12" s="20"/>
      <c r="I12" s="20"/>
      <c r="J12" s="20"/>
      <c r="K12" s="21"/>
      <c r="L12" s="5"/>
    </row>
    <row r="13" spans="1:12" s="3" customFormat="1" ht="12.75" x14ac:dyDescent="0.15">
      <c r="A13" s="1"/>
      <c r="B13" s="13" t="s">
        <v>7</v>
      </c>
      <c r="C13" s="24"/>
      <c r="D13" s="19">
        <v>0</v>
      </c>
      <c r="E13" s="20"/>
      <c r="F13" s="20"/>
      <c r="G13" s="20"/>
      <c r="H13" s="20"/>
      <c r="I13" s="20"/>
      <c r="J13" s="20"/>
      <c r="K13" s="21"/>
      <c r="L13" s="5"/>
    </row>
    <row r="14" spans="1:12" s="3" customFormat="1" ht="12.75" x14ac:dyDescent="0.15">
      <c r="A14" s="1"/>
      <c r="B14" s="13" t="s">
        <v>8</v>
      </c>
      <c r="C14" s="25"/>
      <c r="D14" s="19">
        <v>0</v>
      </c>
      <c r="E14" s="20"/>
      <c r="F14" s="20"/>
      <c r="G14" s="20"/>
      <c r="H14" s="20"/>
      <c r="I14" s="20"/>
      <c r="J14" s="20"/>
      <c r="K14" s="21"/>
      <c r="L14" s="5"/>
    </row>
    <row r="15" spans="1:12" s="3" customFormat="1" ht="12.75" x14ac:dyDescent="0.2">
      <c r="A15" s="1"/>
      <c r="B15" s="1"/>
      <c r="C15" s="26"/>
      <c r="D15" s="26"/>
      <c r="E15" s="26"/>
      <c r="F15" s="26"/>
      <c r="G15" s="26"/>
      <c r="H15" s="26"/>
      <c r="I15" s="26"/>
      <c r="J15" s="26"/>
      <c r="K15" s="26"/>
      <c r="L15" s="1"/>
    </row>
    <row r="16" spans="1:12" s="3" customFormat="1" ht="12.75" x14ac:dyDescent="0.2">
      <c r="A16" s="1"/>
      <c r="B16" s="27" t="s">
        <v>9</v>
      </c>
      <c r="C16" s="28">
        <f>((C9*0.732)+8.987)+(C11*0.157)-(C12*0.249)+(C14*0.434)</f>
        <v>8.9870000000000001</v>
      </c>
      <c r="D16" s="28">
        <f t="shared" ref="D16:K16" si="0">((D9*0.732)+8.987)+(D13/3.14)-(D11*0.157)-(D12*0.249)+(D14*0.434)</f>
        <v>8.9870000000000001</v>
      </c>
      <c r="E16" s="28">
        <f t="shared" si="0"/>
        <v>8.9870000000000001</v>
      </c>
      <c r="F16" s="28">
        <f t="shared" si="0"/>
        <v>8.9870000000000001</v>
      </c>
      <c r="G16" s="28">
        <f t="shared" si="0"/>
        <v>8.9870000000000001</v>
      </c>
      <c r="H16" s="28">
        <f t="shared" si="0"/>
        <v>8.9870000000000001</v>
      </c>
      <c r="I16" s="28">
        <f t="shared" si="0"/>
        <v>8.9870000000000001</v>
      </c>
      <c r="J16" s="28">
        <f t="shared" si="0"/>
        <v>8.9870000000000001</v>
      </c>
      <c r="K16" s="28">
        <f t="shared" si="0"/>
        <v>8.9870000000000001</v>
      </c>
      <c r="L16" s="1"/>
    </row>
    <row r="17" spans="1:12" s="3" customFormat="1" ht="12.75" x14ac:dyDescent="0.2">
      <c r="A17" s="1"/>
      <c r="B17" s="29" t="s">
        <v>10</v>
      </c>
      <c r="C17" s="30">
        <f t="shared" ref="C17:K17" si="1">C9-C16</f>
        <v>-8.9870000000000001</v>
      </c>
      <c r="D17" s="30">
        <f t="shared" si="1"/>
        <v>-8.9870000000000001</v>
      </c>
      <c r="E17" s="30">
        <f t="shared" si="1"/>
        <v>-8.9870000000000001</v>
      </c>
      <c r="F17" s="30">
        <f t="shared" si="1"/>
        <v>-8.9870000000000001</v>
      </c>
      <c r="G17" s="30">
        <f t="shared" si="1"/>
        <v>-8.9870000000000001</v>
      </c>
      <c r="H17" s="30">
        <f t="shared" si="1"/>
        <v>-8.9870000000000001</v>
      </c>
      <c r="I17" s="30">
        <f t="shared" si="1"/>
        <v>-8.9870000000000001</v>
      </c>
      <c r="J17" s="30">
        <f t="shared" si="1"/>
        <v>-8.9870000000000001</v>
      </c>
      <c r="K17" s="30">
        <f t="shared" si="1"/>
        <v>-8.9870000000000001</v>
      </c>
      <c r="L17" s="1"/>
    </row>
    <row r="18" spans="1:12" s="3" customFormat="1" ht="12.75" x14ac:dyDescent="0.2">
      <c r="A18" s="1"/>
      <c r="B18" s="29" t="s">
        <v>11</v>
      </c>
      <c r="C18" s="31">
        <f t="shared" ref="C18:K18" si="2">IF(C9=0,0,C17/C9)</f>
        <v>0</v>
      </c>
      <c r="D18" s="31">
        <f t="shared" si="2"/>
        <v>0</v>
      </c>
      <c r="E18" s="31">
        <f t="shared" si="2"/>
        <v>0</v>
      </c>
      <c r="F18" s="31">
        <f t="shared" si="2"/>
        <v>0</v>
      </c>
      <c r="G18" s="31">
        <f t="shared" si="2"/>
        <v>0</v>
      </c>
      <c r="H18" s="31">
        <f t="shared" si="2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  <c r="L18" s="1"/>
    </row>
    <row r="19" spans="1:12" s="3" customFormat="1" ht="12.75" x14ac:dyDescent="0.2">
      <c r="A19" s="1"/>
      <c r="B19" s="29" t="s">
        <v>12</v>
      </c>
      <c r="C19" s="32">
        <f t="shared" ref="C19:K19" si="3">IF($C$4=0,0,IF($D$4=0,0,(C9/(($C$4*12)+$D$4))/(($C$4*12)+$D$4)*703))</f>
        <v>0</v>
      </c>
      <c r="D19" s="32">
        <f t="shared" si="3"/>
        <v>0</v>
      </c>
      <c r="E19" s="32">
        <f t="shared" si="3"/>
        <v>0</v>
      </c>
      <c r="F19" s="32">
        <f t="shared" si="3"/>
        <v>0</v>
      </c>
      <c r="G19" s="32">
        <f t="shared" si="3"/>
        <v>0</v>
      </c>
      <c r="H19" s="32">
        <f t="shared" si="3"/>
        <v>0</v>
      </c>
      <c r="I19" s="32">
        <f t="shared" si="3"/>
        <v>0</v>
      </c>
      <c r="J19" s="32">
        <f t="shared" si="3"/>
        <v>0</v>
      </c>
      <c r="K19" s="32">
        <f t="shared" si="3"/>
        <v>0</v>
      </c>
      <c r="L19" s="1"/>
    </row>
    <row r="20" spans="1:12" s="3" customFormat="1" ht="12.75" x14ac:dyDescent="0.2">
      <c r="A20" s="1"/>
      <c r="B20" s="33" t="s">
        <v>13</v>
      </c>
      <c r="C20" s="34" t="str">
        <f t="shared" ref="C20:K20" si="4">IF(C19&gt;=30%,"Obese",IF(25%&lt;=C19&lt;30%,"Overweight",IF(25%&lt;C19&lt;=18.5%,"Healthy",IF(C19&lt;18.5%,"Underweight"))))</f>
        <v>Underweight</v>
      </c>
      <c r="D20" s="34" t="str">
        <f t="shared" si="4"/>
        <v>Underweight</v>
      </c>
      <c r="E20" s="34" t="str">
        <f t="shared" si="4"/>
        <v>Underweight</v>
      </c>
      <c r="F20" s="34" t="str">
        <f t="shared" si="4"/>
        <v>Underweight</v>
      </c>
      <c r="G20" s="34" t="str">
        <f t="shared" si="4"/>
        <v>Underweight</v>
      </c>
      <c r="H20" s="34" t="str">
        <f t="shared" si="4"/>
        <v>Underweight</v>
      </c>
      <c r="I20" s="34" t="str">
        <f t="shared" si="4"/>
        <v>Underweight</v>
      </c>
      <c r="J20" s="34" t="str">
        <f t="shared" si="4"/>
        <v>Underweight</v>
      </c>
      <c r="K20" s="34" t="str">
        <f t="shared" si="4"/>
        <v>Underweight</v>
      </c>
      <c r="L20" s="1"/>
    </row>
  </sheetData>
  <mergeCells count="1">
    <mergeCell ref="C1:G1"/>
  </mergeCells>
  <phoneticPr fontId="2" type="noConversion"/>
  <conditionalFormatting sqref="C18:K18">
    <cfRule type="cellIs" dxfId="1" priority="2" stopIfTrue="1" operator="equal">
      <formula>#DIV/0!</formula>
    </cfRule>
  </conditionalFormatting>
  <conditionalFormatting sqref="C19:K19">
    <cfRule type="cellIs" dxfId="0" priority="1" stopIfTrue="1" operator="between">
      <formula>25</formula>
      <formula>29.9</formula>
    </cfRule>
  </conditionalFormatting>
  <dataValidations count="1">
    <dataValidation type="whole" operator="greaterThanOrEqual" showErrorMessage="1" errorTitle="Incorrect Data" error="Please type in your height ( just the feet) in whole number." sqref="C4">
      <formula1>1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caixiaohe</cp:lastModifiedBy>
  <dcterms:created xsi:type="dcterms:W3CDTF">2019-03-27T07:37:41Z</dcterms:created>
  <dcterms:modified xsi:type="dcterms:W3CDTF">2019-03-27T07:38:15Z</dcterms:modified>
</cp:coreProperties>
</file>